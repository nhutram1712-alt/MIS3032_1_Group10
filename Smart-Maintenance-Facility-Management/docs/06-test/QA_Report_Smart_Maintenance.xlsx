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win\Downloads\"/>
    </mc:Choice>
  </mc:AlternateContent>
  <xr:revisionPtr revIDLastSave="0" documentId="13_ncr:1_{6E485006-4F54-4F53-94CE-E159D5814E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A Report" sheetId="1" r:id="rId1"/>
    <sheet name="Test Execution" sheetId="2" r:id="rId2"/>
    <sheet name="Defect Metrics" sheetId="3" r:id="rId3"/>
    <sheet name="Open Defects" sheetId="4" r:id="rId4"/>
    <sheet name="QA Sign-off" sheetId="5" r:id="rId5"/>
  </sheets>
  <calcPr calcId="191029"/>
</workbook>
</file>

<file path=xl/calcChain.xml><?xml version="1.0" encoding="utf-8"?>
<calcChain xmlns="http://schemas.openxmlformats.org/spreadsheetml/2006/main">
  <c r="E20" i="2" l="1"/>
  <c r="E19" i="2"/>
  <c r="E18" i="2"/>
  <c r="E17" i="2"/>
  <c r="E16" i="2"/>
  <c r="E11" i="2"/>
  <c r="F11" i="2" s="1"/>
  <c r="D11" i="2"/>
  <c r="C11" i="2"/>
  <c r="C11" i="1" s="1"/>
  <c r="B11" i="2"/>
  <c r="F10" i="2"/>
  <c r="F9" i="2"/>
  <c r="F8" i="2"/>
  <c r="F7" i="2"/>
  <c r="F6" i="2"/>
  <c r="F5" i="2"/>
  <c r="F4" i="2"/>
  <c r="H11" i="1"/>
  <c r="B11" i="1"/>
  <c r="A11" i="1"/>
  <c r="D11" i="1" s="1"/>
</calcChain>
</file>

<file path=xl/sharedStrings.xml><?xml version="1.0" encoding="utf-8"?>
<sst xmlns="http://schemas.openxmlformats.org/spreadsheetml/2006/main" count="255" uniqueCount="165">
  <si>
    <t>QA REPORT – SMART MAINTENANCE &amp; FACILITY MANAGEMENT</t>
  </si>
  <si>
    <t>Dự án</t>
  </si>
  <si>
    <t>Smart Maintenance &amp; Facility Management (DUE Smart Campus)</t>
  </si>
  <si>
    <t>Phiên bản báo cáo</t>
  </si>
  <si>
    <t>1.0</t>
  </si>
  <si>
    <t>Nguồn dữ liệu</t>
  </si>
  <si>
    <t>Nhom10_Test case.xlsx + Bug_Log_Smart_Maintenance.xlsx</t>
  </si>
  <si>
    <t>Ngày lập báo cáo</t>
  </si>
  <si>
    <t>Thời gian kiểm thử</t>
  </si>
  <si>
    <t>02/09/2026 – 09/10/2026</t>
  </si>
  <si>
    <t>Môi trường</t>
  </si>
  <si>
    <t>Local / Demo</t>
  </si>
  <si>
    <t>Mục tiêu</t>
  </si>
  <si>
    <t>Tổng hợp kết quả kiểm thử, defect status và đánh giá chất lượng trước release/demo.</t>
  </si>
  <si>
    <t>Test type</t>
  </si>
  <si>
    <t>Functional, RBAC, UI, IoT, AI</t>
  </si>
  <si>
    <t>1. Executive Summary</t>
  </si>
  <si>
    <t>Tổng Test Case</t>
  </si>
  <si>
    <t>Pass cuối</t>
  </si>
  <si>
    <t>Failed cuối</t>
  </si>
  <si>
    <t>Pass Rate</t>
  </si>
  <si>
    <t>Tổng Bug</t>
  </si>
  <si>
    <t>Bug Open</t>
  </si>
  <si>
    <t>Bug Closed</t>
  </si>
  <si>
    <t>Closure Rate</t>
  </si>
  <si>
    <t>Đánh giá tổng thể</t>
  </si>
  <si>
    <t>Kết quả kiểm thử</t>
  </si>
  <si>
    <t>53 test case đã được thực thi; 47 Pass và 6 Failed ở lần kiểm tra cuối. Không còn test case ở trạng thái Chưa kiểm tra.</t>
  </si>
  <si>
    <t>Defect</t>
  </si>
  <si>
    <t>14 bug đã được ghi nhận từ các test case từng Failed ít nhất một lần; 8 bug đã Closed sau retest, 6 bug vẫn Open.</t>
  </si>
  <si>
    <t>Severity đang mở</t>
  </si>
  <si>
    <t>0 Blocker, 0 Major, 3 Minor và 3 Cosmetic.</t>
  </si>
  <si>
    <t>Khu vực còn rủi ro</t>
  </si>
  <si>
    <t>Work Order localization; IoT Alerts localization; IoT Mapping; AI Risks localization; phân quyền truy cập trực tiếp bằng URL.</t>
  </si>
  <si>
    <t>QA Recommendation</t>
  </si>
  <si>
    <t>CONDITIONAL PASS cho mục đích demo/lớp học. Nên xử lý hoặc chính thức chấp nhận 3 lỗi Minor còn mở trước khi xem là release hoàn tất.</t>
  </si>
  <si>
    <t>2. Open Defect Summary</t>
  </si>
  <si>
    <t>Severity</t>
  </si>
  <si>
    <t>Open</t>
  </si>
  <si>
    <t>Ảnh hưởng</t>
  </si>
  <si>
    <t>Release Handling</t>
  </si>
  <si>
    <t>Release Decision</t>
  </si>
  <si>
    <t>Blocker</t>
  </si>
  <si>
    <t>Không có</t>
  </si>
  <si>
    <t>CONDITIONAL PASS</t>
  </si>
  <si>
    <t>Major</t>
  </si>
  <si>
    <t>Minor</t>
  </si>
  <si>
    <t>Có ảnh hưởng chức năng/kiểm soát truy cập</t>
  </si>
  <si>
    <t>Nên fix hoặc được PO/BA chấp nhận là Known Issue</t>
  </si>
  <si>
    <t>Điều kiện: rà soát 3 Minor bugs (BUG-010, BUG-013, BUG-014) và ghi rõ quyết định Fix / Accept as Known Issue trước release cuối.</t>
  </si>
  <si>
    <t>Cosmetic</t>
  </si>
  <si>
    <t>Ảnh hưởng tính nhất quán giao diện/ngôn ngữ</t>
  </si>
  <si>
    <t>Có thể giữ Known Issue nếu demo vẫn chấp nhận</t>
  </si>
  <si>
    <t>TEST EXECUTION SUMMARY</t>
  </si>
  <si>
    <t>Module</t>
  </si>
  <si>
    <t>Chưa kiểm tra</t>
  </si>
  <si>
    <t>Tổng</t>
  </si>
  <si>
    <t>Người phụ trách</t>
  </si>
  <si>
    <t>1. Đăng nhập</t>
  </si>
  <si>
    <t>Trinh</t>
  </si>
  <si>
    <t>2. Tài sản</t>
  </si>
  <si>
    <t>Thu Thảo, Trinh</t>
  </si>
  <si>
    <t>3. Yêu cầu sự cố</t>
  </si>
  <si>
    <t>4. Work Order</t>
  </si>
  <si>
    <t>Trinh, Thanh Thảo</t>
  </si>
  <si>
    <t>5. IoT Alerts</t>
  </si>
  <si>
    <t>Trầm, Thịnh</t>
  </si>
  <si>
    <t>6. AI Risks</t>
  </si>
  <si>
    <t>7. Quản trị</t>
  </si>
  <si>
    <t>Trinh, Thu Thảo, Thanh Thảo, Thịnh</t>
  </si>
  <si>
    <t>TỔNG</t>
  </si>
  <si>
    <t>Tester Execution Summary</t>
  </si>
  <si>
    <t>Tester</t>
  </si>
  <si>
    <t>Số case</t>
  </si>
  <si>
    <t>Thu Thảo</t>
  </si>
  <si>
    <t>Thanh Thảo</t>
  </si>
  <si>
    <t>Trầm</t>
  </si>
  <si>
    <t>Thịnh</t>
  </si>
  <si>
    <t>DEFECT METRICS</t>
  </si>
  <si>
    <t>Metric</t>
  </si>
  <si>
    <t>Value</t>
  </si>
  <si>
    <t>Open Severity</t>
  </si>
  <si>
    <t>Số lượng</t>
  </si>
  <si>
    <t>Tổng bug ghi nhận</t>
  </si>
  <si>
    <t>Bug từng được retest thành công</t>
  </si>
  <si>
    <t>Bug Open sau retest</t>
  </si>
  <si>
    <t>Bug ID</t>
  </si>
  <si>
    <t>Test Case</t>
  </si>
  <si>
    <t>Reporter</t>
  </si>
  <si>
    <t>Status</t>
  </si>
  <si>
    <t>BUG-007</t>
  </si>
  <si>
    <t>TC_UC04.2_05</t>
  </si>
  <si>
    <t>Work Order</t>
  </si>
  <si>
    <t>BUG-008</t>
  </si>
  <si>
    <t>TC_UC05.1_02</t>
  </si>
  <si>
    <t>IoT Alerts</t>
  </si>
  <si>
    <t>BUG-010</t>
  </si>
  <si>
    <t>TC_UC05.2_03</t>
  </si>
  <si>
    <t>IoT Mapping</t>
  </si>
  <si>
    <t>BUG-011</t>
  </si>
  <si>
    <t>TC_UC06.1_03</t>
  </si>
  <si>
    <t>AI Risks</t>
  </si>
  <si>
    <t>BUG-013</t>
  </si>
  <si>
    <t>TC_UC07.2_03</t>
  </si>
  <si>
    <t>Phân quyền</t>
  </si>
  <si>
    <t>BUG-014</t>
  </si>
  <si>
    <t>TC_UC07.2_04</t>
  </si>
  <si>
    <t>OPEN DEFECTS – DETAIL</t>
  </si>
  <si>
    <t>Test Case ID</t>
  </si>
  <si>
    <t>Bug Summary</t>
  </si>
  <si>
    <t>Detected Date</t>
  </si>
  <si>
    <t>Retest Date</t>
  </si>
  <si>
    <t>Evidence</t>
  </si>
  <si>
    <t>Trang Work Order còn lẫn tiếng Anh và viết tắt chưa thuần Việt</t>
  </si>
  <si>
    <t>01/10/2026</t>
  </si>
  <si>
    <t>06/10/2026</t>
  </si>
  <si>
    <t>IoT Alerts hiển thị raw metric và mức độ bằng tiếng Anh</t>
  </si>
  <si>
    <t>02/10/2026</t>
  </si>
  <si>
    <t>07/10/2026</t>
  </si>
  <si>
    <t>IoT Mapping thiếu thao tác gỡ liên kết hoặc sửa Device ID</t>
  </si>
  <si>
    <t>04/10/2026</t>
  </si>
  <si>
    <t>08/10/2026</t>
  </si>
  <si>
    <t>AI Risks chưa Việt hóa các mức rủi ro High / Medium</t>
  </si>
  <si>
    <t>05/10/2026</t>
  </si>
  <si>
    <t>09/10/2026</t>
  </si>
  <si>
    <t>Facility Manager vẫn mở được trang Người dùng bằng URL trực tiếp</t>
  </si>
  <si>
    <t>Requester vẫn mở được trang AI Risks bằng URL trực tiếp và thấy lỗi thô</t>
  </si>
  <si>
    <t>QA SIGN-OFF / RELEASE READINESS</t>
  </si>
  <si>
    <t>Hạng mục</t>
  </si>
  <si>
    <t>Đánh giá</t>
  </si>
  <si>
    <t>Test Coverage</t>
  </si>
  <si>
    <t>53/53 test case đã được thực thi; không còn case Chưa kiểm tra.</t>
  </si>
  <si>
    <t>Functional Result</t>
  </si>
  <si>
    <t>47 Pass / 6 Failed ở lần chạy cuối; pass rate khoảng 88.7%.</t>
  </si>
  <si>
    <t>Defect Status</t>
  </si>
  <si>
    <t>14 bug đã ghi nhận; 8 Closed, 6 Open.</t>
  </si>
  <si>
    <t>Critical Defects</t>
  </si>
  <si>
    <t>Không có Blocker hoặc Major bug đang mở.</t>
  </si>
  <si>
    <t>Minor Risks</t>
  </si>
  <si>
    <t>3 Minor bug đang mở: IoT Mapping và 2 trường hợp truy cập route không phù hợp role.</t>
  </si>
  <si>
    <t>Cosmetic Risks</t>
  </si>
  <si>
    <t>3 Cosmetic bug đang mở liên quan Việt hóa UI/label.</t>
  </si>
  <si>
    <t>Overall QA Status</t>
  </si>
  <si>
    <t>Action Items trước Final Release</t>
  </si>
  <si>
    <t>#</t>
  </si>
  <si>
    <t>Issue</t>
  </si>
  <si>
    <t>Action</t>
  </si>
  <si>
    <t>Owner</t>
  </si>
  <si>
    <t>1</t>
  </si>
  <si>
    <t>Rà soát/triển khai thao tác Unmap hoặc chỉnh sửa Device ID, hoặc PO/BA xác nhận Known Issue.</t>
  </si>
  <si>
    <t>Dev + PO/BA</t>
  </si>
  <si>
    <t>2</t>
  </si>
  <si>
    <t>Chặn/redirect route Người dùng đối với Facility Manager theo UX mong đợi.</t>
  </si>
  <si>
    <t>Dev</t>
  </si>
  <si>
    <t>3</t>
  </si>
  <si>
    <t>Chặn/redirect route AI Risks đối với Requester và không hiển thị lỗi thô.</t>
  </si>
  <si>
    <t>4</t>
  </si>
  <si>
    <t>BUG-007/008/011</t>
  </si>
  <si>
    <t>Hoàn thiện Việt hóa nhãn/mức độ/risk nếu cần polish trước demo cuối.</t>
  </si>
  <si>
    <t>5</t>
  </si>
  <si>
    <t>Traceability</t>
  </si>
  <si>
    <t>Liên kết bug/test case với Requirement/User Story/commit/PR trong bộ hồ sơ Bài 3.</t>
  </si>
  <si>
    <t>BA/PO + Dev</t>
  </si>
  <si>
    <t>Kết luận</t>
  </si>
  <si>
    <t>Dựa trên evidence hiện có, hệ thống đủ điều kiện để tiếp tục demo/đánh giá với trạng thái Conditional Pass. Không có lỗi Blocker/Major đang mở, nhưng 3 lỗi Minor cần được fix hoặc được PO/BA chấp nhận rõ ràng là Known Issue trước khi xác nhận final release.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</si>
</sst>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1"/>
      <name val="Carlito"/>
    </font>
    <font>
      <b/>
      <sz val="10"/>
      <color rgb="FFFFFFFF"/>
      <name val="Aptos"/>
    </font>
    <font>
      <sz val="10"/>
      <name val="Aptos"/>
    </font>
    <font>
      <b/>
      <sz val="10"/>
      <color rgb="FF1F1F1F"/>
      <name val="Aptos"/>
    </font>
    <font>
      <b/>
      <sz val="10"/>
      <name val="Aptos"/>
    </font>
    <font>
      <b/>
      <sz val="15"/>
      <color rgb="FFFFFFFF"/>
      <name val="Aptos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4F6F8"/>
      </patternFill>
    </fill>
    <fill>
      <patternFill patternType="solid">
        <fgColor rgb="FFE7E6E6"/>
      </patternFill>
    </fill>
    <fill>
      <patternFill patternType="solid">
        <fgColor rgb="FFE7E6E6"/>
      </patternFill>
    </fill>
  </fills>
  <borders count="13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64" fontId="2" fillId="0" borderId="0" xfId="0" applyNumberFormat="1" applyFont="1" applyAlignment="1">
      <alignment vertical="center"/>
    </xf>
    <xf numFmtId="0" fontId="4" fillId="6" borderId="9" xfId="0" applyFont="1" applyFill="1" applyBorder="1" applyAlignment="1">
      <alignment vertical="center"/>
    </xf>
    <xf numFmtId="0" fontId="4" fillId="6" borderId="10" xfId="0" applyFont="1" applyFill="1" applyBorder="1" applyAlignment="1">
      <alignment vertical="center"/>
    </xf>
    <xf numFmtId="164" fontId="4" fillId="6" borderId="10" xfId="0" applyNumberFormat="1" applyFont="1" applyFill="1" applyBorder="1" applyAlignment="1">
      <alignment vertical="center"/>
    </xf>
    <xf numFmtId="0" fontId="4" fillId="6" borderId="11" xfId="0" applyFont="1" applyFill="1" applyBorder="1" applyAlignment="1">
      <alignment vertical="center" wrapText="1"/>
    </xf>
    <xf numFmtId="164" fontId="2" fillId="0" borderId="3" xfId="0" applyNumberFormat="1" applyFont="1" applyBorder="1" applyAlignment="1">
      <alignment vertical="center"/>
    </xf>
    <xf numFmtId="164" fontId="2" fillId="0" borderId="5" xfId="0" applyNumberFormat="1" applyFont="1" applyBorder="1" applyAlignment="1">
      <alignment vertical="center"/>
    </xf>
    <xf numFmtId="164" fontId="2" fillId="0" borderId="8" xfId="0" applyNumberFormat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164" fontId="4" fillId="0" borderId="10" xfId="0" applyNumberFormat="1" applyFont="1" applyBorder="1" applyAlignment="1">
      <alignment horizontal="center" vertical="center" wrapText="1"/>
    </xf>
    <xf numFmtId="164" fontId="4" fillId="0" borderId="1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4" fillId="7" borderId="9" xfId="0" applyFont="1" applyFill="1" applyBorder="1" applyAlignment="1">
      <alignment vertical="center"/>
    </xf>
    <xf numFmtId="0" fontId="4" fillId="7" borderId="10" xfId="0" applyFont="1" applyFill="1" applyBorder="1" applyAlignment="1">
      <alignment vertical="center"/>
    </xf>
    <xf numFmtId="164" fontId="4" fillId="7" borderId="10" xfId="0" applyNumberFormat="1" applyFont="1" applyFill="1" applyBorder="1" applyAlignment="1">
      <alignment vertical="center"/>
    </xf>
    <xf numFmtId="0" fontId="4" fillId="7" borderId="11" xfId="0" applyFont="1" applyFill="1" applyBorder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2" fillId="5" borderId="6" xfId="0" applyFont="1" applyFill="1" applyBorder="1" applyAlignment="1">
      <alignment horizontal="left" vertical="center" wrapText="1"/>
    </xf>
    <xf numFmtId="0" fontId="2" fillId="5" borderId="7" xfId="0" applyFont="1" applyFill="1" applyBorder="1" applyAlignment="1">
      <alignment horizontal="left" vertical="center" wrapText="1"/>
    </xf>
    <xf numFmtId="0" fontId="2" fillId="5" borderId="8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2" fillId="5" borderId="6" xfId="0" applyFont="1" applyFill="1" applyBorder="1" applyAlignment="1">
      <alignment vertical="center" wrapText="1"/>
    </xf>
    <xf numFmtId="0" fontId="2" fillId="5" borderId="7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vertical="center" wrapText="1"/>
    </xf>
    <xf numFmtId="14" fontId="2" fillId="0" borderId="5" xfId="0" applyNumberFormat="1" applyFont="1" applyBorder="1" applyAlignment="1">
      <alignment horizontal="left" vertical="center" wrapText="1"/>
    </xf>
    <xf numFmtId="0" fontId="2" fillId="0" borderId="12" xfId="0" applyFont="1" applyBorder="1" applyAlignment="1">
      <alignment vertical="center"/>
    </xf>
    <xf numFmtId="0" fontId="2" fillId="0" borderId="12" xfId="0" applyFont="1" applyBorder="1" applyAlignment="1">
      <alignment vertical="center" wrapText="1"/>
    </xf>
  </cellXfs>
  <cellStyles count="1">
    <cellStyle name="Normal" xfId="0" builtinId="0"/>
  </cellStyles>
  <dxfs count="2">
    <dxf>
      <fill>
        <patternFill>
          <bgColor rgb="FFD9EAF7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ZW"/>
              <a:t>Kết quả kiểm thử theo Module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Pass cuối</c:v>
          </c:tx>
          <c:invertIfNegative val="1"/>
          <c:cat>
            <c:strRef>
              <c:f>'Test Execution'!$A$4:$A$9</c:f>
              <c:strCache>
                <c:ptCount val="6"/>
                <c:pt idx="0">
                  <c:v>1. Đăng nhập</c:v>
                </c:pt>
                <c:pt idx="1">
                  <c:v>2. Tài sản</c:v>
                </c:pt>
                <c:pt idx="2">
                  <c:v>3. Yêu cầu sự cố</c:v>
                </c:pt>
                <c:pt idx="3">
                  <c:v>4. Work Order</c:v>
                </c:pt>
                <c:pt idx="4">
                  <c:v>5. IoT Alerts</c:v>
                </c:pt>
                <c:pt idx="5">
                  <c:v>6. AI Risks</c:v>
                </c:pt>
              </c:strCache>
            </c:strRef>
          </c:cat>
          <c:val>
            <c:numRef>
              <c:f>'Test Execution'!$B$4:$B$9</c:f>
              <c:numCache>
                <c:formatCode>General</c:formatCode>
                <c:ptCount val="6"/>
                <c:pt idx="0">
                  <c:v>11</c:v>
                </c:pt>
                <c:pt idx="1">
                  <c:v>9</c:v>
                </c:pt>
                <c:pt idx="2">
                  <c:v>6</c:v>
                </c:pt>
                <c:pt idx="3">
                  <c:v>8</c:v>
                </c:pt>
                <c:pt idx="4">
                  <c:v>4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EE-4449-BA33-2E991FDFB00E}"/>
            </c:ext>
          </c:extLst>
        </c:ser>
        <c:ser>
          <c:idx val="1"/>
          <c:order val="1"/>
          <c:tx>
            <c:v>Failed cuối</c:v>
          </c:tx>
          <c:invertIfNegative val="1"/>
          <c:cat>
            <c:strRef>
              <c:f>'Test Execution'!$A$4:$A$9</c:f>
              <c:strCache>
                <c:ptCount val="6"/>
                <c:pt idx="0">
                  <c:v>1. Đăng nhập</c:v>
                </c:pt>
                <c:pt idx="1">
                  <c:v>2. Tài sản</c:v>
                </c:pt>
                <c:pt idx="2">
                  <c:v>3. Yêu cầu sự cố</c:v>
                </c:pt>
                <c:pt idx="3">
                  <c:v>4. Work Order</c:v>
                </c:pt>
                <c:pt idx="4">
                  <c:v>5. IoT Alerts</c:v>
                </c:pt>
                <c:pt idx="5">
                  <c:v>6. AI Risks</c:v>
                </c:pt>
              </c:strCache>
            </c:strRef>
          </c:cat>
          <c:val>
            <c:numRef>
              <c:f>'Test Execution'!$C$4:$C$9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EE-4449-BA33-2E991FDFB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342900</xdr:colOff>
      <xdr:row>4</xdr:row>
      <xdr:rowOff>60960</xdr:rowOff>
    </xdr:from>
    <xdr:to>
      <xdr:col>16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68580</xdr:colOff>
      <xdr:row>3</xdr:row>
      <xdr:rowOff>281940</xdr:rowOff>
    </xdr:from>
    <xdr:ext cx="2514600" cy="1325880"/>
    <xdr:pic>
      <xdr:nvPicPr>
        <xdr:cNvPr id="2" name="Image 7" descr="Picture">
          <a:extLst>
            <a:ext uri="{FF2B5EF4-FFF2-40B4-BE49-F238E27FC236}">
              <a16:creationId xmlns:a16="http://schemas.microsoft.com/office/drawing/2014/main" id="{D7C9F366-B99B-4F7B-AED3-1DA404212E9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650980" y="876300"/>
          <a:ext cx="2514600" cy="1325880"/>
        </a:xfrm>
        <a:prstGeom prst="rect">
          <a:avLst/>
        </a:prstGeom>
      </xdr:spPr>
    </xdr:pic>
    <xdr:clientData/>
  </xdr:oneCellAnchor>
  <xdr:oneCellAnchor>
    <xdr:from>
      <xdr:col>8</xdr:col>
      <xdr:colOff>60960</xdr:colOff>
      <xdr:row>4</xdr:row>
      <xdr:rowOff>83820</xdr:rowOff>
    </xdr:from>
    <xdr:ext cx="2537460" cy="155448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BC8E9975-9288-447B-A946-1C85C90A5192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643360" y="2552700"/>
          <a:ext cx="2537460" cy="1554480"/>
        </a:xfrm>
        <a:prstGeom prst="rect">
          <a:avLst/>
        </a:prstGeom>
      </xdr:spPr>
    </xdr:pic>
    <xdr:clientData/>
  </xdr:oneCellAnchor>
  <xdr:oneCellAnchor>
    <xdr:from>
      <xdr:col>8</xdr:col>
      <xdr:colOff>68580</xdr:colOff>
      <xdr:row>5</xdr:row>
      <xdr:rowOff>76200</xdr:rowOff>
    </xdr:from>
    <xdr:ext cx="2522220" cy="1668780"/>
    <xdr:pic>
      <xdr:nvPicPr>
        <xdr:cNvPr id="4" name="Image 4" descr="Picture">
          <a:extLst>
            <a:ext uri="{FF2B5EF4-FFF2-40B4-BE49-F238E27FC236}">
              <a16:creationId xmlns:a16="http://schemas.microsoft.com/office/drawing/2014/main" id="{4AADB565-E3AD-4B0B-903D-6F91385B7017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650980" y="4434840"/>
          <a:ext cx="2522220" cy="1668780"/>
        </a:xfrm>
        <a:prstGeom prst="rect">
          <a:avLst/>
        </a:prstGeom>
      </xdr:spPr>
    </xdr:pic>
    <xdr:clientData/>
  </xdr:oneCellAnchor>
  <xdr:oneCellAnchor>
    <xdr:from>
      <xdr:col>8</xdr:col>
      <xdr:colOff>83820</xdr:colOff>
      <xdr:row>6</xdr:row>
      <xdr:rowOff>45720</xdr:rowOff>
    </xdr:from>
    <xdr:ext cx="2506980" cy="1584960"/>
    <xdr:pic>
      <xdr:nvPicPr>
        <xdr:cNvPr id="5" name="Image 3" descr="Picture">
          <a:extLst>
            <a:ext uri="{FF2B5EF4-FFF2-40B4-BE49-F238E27FC236}">
              <a16:creationId xmlns:a16="http://schemas.microsoft.com/office/drawing/2014/main" id="{5C6A45A8-36CE-41EA-9E00-21A31E26577C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1666220" y="6347460"/>
          <a:ext cx="2506980" cy="1584960"/>
        </a:xfrm>
        <a:prstGeom prst="rect">
          <a:avLst/>
        </a:prstGeom>
      </xdr:spPr>
    </xdr:pic>
    <xdr:clientData/>
  </xdr:oneCellAnchor>
  <xdr:oneCellAnchor>
    <xdr:from>
      <xdr:col>8</xdr:col>
      <xdr:colOff>167640</xdr:colOff>
      <xdr:row>7</xdr:row>
      <xdr:rowOff>129540</xdr:rowOff>
    </xdr:from>
    <xdr:ext cx="2400300" cy="1668780"/>
    <xdr:pic>
      <xdr:nvPicPr>
        <xdr:cNvPr id="6" name="Image 7" descr="Picture">
          <a:extLst>
            <a:ext uri="{FF2B5EF4-FFF2-40B4-BE49-F238E27FC236}">
              <a16:creationId xmlns:a16="http://schemas.microsoft.com/office/drawing/2014/main" id="{339392E3-9257-41DE-8168-DE4C24D9AFCF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1750040" y="8130540"/>
          <a:ext cx="2400300" cy="1668780"/>
        </a:xfrm>
        <a:prstGeom prst="rect">
          <a:avLst/>
        </a:prstGeom>
      </xdr:spPr>
    </xdr:pic>
    <xdr:clientData/>
  </xdr:oneCellAnchor>
  <xdr:oneCellAnchor>
    <xdr:from>
      <xdr:col>8</xdr:col>
      <xdr:colOff>53340</xdr:colOff>
      <xdr:row>8</xdr:row>
      <xdr:rowOff>38100</xdr:rowOff>
    </xdr:from>
    <xdr:ext cx="2529840" cy="1592580"/>
    <xdr:pic>
      <xdr:nvPicPr>
        <xdr:cNvPr id="7" name="Image 8" descr="Picture">
          <a:extLst>
            <a:ext uri="{FF2B5EF4-FFF2-40B4-BE49-F238E27FC236}">
              <a16:creationId xmlns:a16="http://schemas.microsoft.com/office/drawing/2014/main" id="{5CD82AA3-97C5-4A2A-8449-51D093E06DE9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1635740" y="10027920"/>
          <a:ext cx="2529840" cy="159258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"/>
  <sheetViews>
    <sheetView tabSelected="1" workbookViewId="0">
      <pane ySplit="1" topLeftCell="A20" activePane="bottomLeft" state="frozen"/>
      <selection pane="bottomLeft" activeCell="D15" sqref="D15"/>
    </sheetView>
  </sheetViews>
  <sheetFormatPr defaultRowHeight="13.8"/>
  <cols>
    <col min="1" max="1" width="18" customWidth="1"/>
    <col min="2" max="2" width="40" customWidth="1"/>
    <col min="3" max="3" width="18" customWidth="1"/>
    <col min="4" max="4" width="22" customWidth="1"/>
    <col min="5" max="5" width="14" customWidth="1"/>
    <col min="6" max="7" width="16" customWidth="1"/>
    <col min="8" max="8" width="18" customWidth="1"/>
  </cols>
  <sheetData>
    <row r="1" spans="1:17" ht="30" customHeight="1">
      <c r="A1" s="43" t="s">
        <v>0</v>
      </c>
      <c r="B1" s="43"/>
      <c r="C1" s="43"/>
      <c r="D1" s="43"/>
      <c r="E1" s="43"/>
      <c r="F1" s="43"/>
      <c r="G1" s="43"/>
      <c r="H1" s="43"/>
      <c r="I1" s="8"/>
      <c r="J1" s="8"/>
      <c r="K1" s="8"/>
      <c r="L1" s="8"/>
      <c r="M1" s="8"/>
      <c r="N1" s="8"/>
      <c r="O1" s="8"/>
      <c r="P1" s="8"/>
      <c r="Q1" s="8"/>
    </row>
    <row r="2" spans="1:17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ht="26.4">
      <c r="A3" s="1" t="s">
        <v>1</v>
      </c>
      <c r="B3" s="9" t="s">
        <v>2</v>
      </c>
      <c r="C3" s="2" t="s">
        <v>3</v>
      </c>
      <c r="D3" s="10" t="s">
        <v>4</v>
      </c>
      <c r="E3" s="11"/>
      <c r="F3" s="11"/>
      <c r="G3" s="11"/>
      <c r="H3" s="11"/>
      <c r="I3" s="8"/>
      <c r="J3" s="8"/>
      <c r="K3" s="8"/>
      <c r="L3" s="8"/>
      <c r="M3" s="8"/>
      <c r="N3" s="8"/>
      <c r="O3" s="8"/>
      <c r="P3" s="8"/>
      <c r="Q3" s="8"/>
    </row>
    <row r="4" spans="1:17" ht="26.4">
      <c r="A4" s="3" t="s">
        <v>5</v>
      </c>
      <c r="B4" s="11" t="s">
        <v>6</v>
      </c>
      <c r="C4" s="4" t="s">
        <v>7</v>
      </c>
      <c r="D4" s="67">
        <v>46304</v>
      </c>
      <c r="E4" s="11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</row>
    <row r="5" spans="1:17">
      <c r="A5" s="3" t="s">
        <v>8</v>
      </c>
      <c r="B5" s="11" t="s">
        <v>9</v>
      </c>
      <c r="C5" s="4" t="s">
        <v>10</v>
      </c>
      <c r="D5" s="12" t="s">
        <v>11</v>
      </c>
      <c r="E5" s="11"/>
      <c r="F5" s="11"/>
      <c r="G5" s="11"/>
      <c r="H5" s="11"/>
      <c r="I5" s="8"/>
      <c r="J5" s="8"/>
      <c r="K5" s="8"/>
      <c r="L5" s="8"/>
      <c r="M5" s="8"/>
      <c r="N5" s="8"/>
      <c r="O5" s="8"/>
      <c r="P5" s="8"/>
      <c r="Q5" s="8"/>
    </row>
    <row r="6" spans="1:17" ht="26.4">
      <c r="A6" s="5" t="s">
        <v>12</v>
      </c>
      <c r="B6" s="13" t="s">
        <v>13</v>
      </c>
      <c r="C6" s="6" t="s">
        <v>14</v>
      </c>
      <c r="D6" s="14" t="s">
        <v>15</v>
      </c>
      <c r="E6" s="11"/>
      <c r="F6" s="11"/>
      <c r="G6" s="11"/>
      <c r="H6" s="11"/>
      <c r="I6" s="8"/>
      <c r="J6" s="8"/>
      <c r="K6" s="8"/>
      <c r="L6" s="8"/>
      <c r="M6" s="8"/>
      <c r="N6" s="8"/>
      <c r="O6" s="8"/>
      <c r="P6" s="8"/>
      <c r="Q6" s="8"/>
    </row>
    <row r="7" spans="1:17">
      <c r="A7" s="11"/>
      <c r="B7" s="11"/>
      <c r="C7" s="11"/>
      <c r="D7" s="11"/>
      <c r="E7" s="11"/>
      <c r="F7" s="11"/>
      <c r="G7" s="11"/>
      <c r="H7" s="11"/>
      <c r="I7" s="8"/>
      <c r="J7" s="8"/>
      <c r="K7" s="8"/>
      <c r="L7" s="8"/>
      <c r="M7" s="8"/>
      <c r="N7" s="8"/>
      <c r="O7" s="8"/>
      <c r="P7" s="8"/>
      <c r="Q7" s="8"/>
    </row>
    <row r="8" spans="1:17">
      <c r="A8" s="44" t="s">
        <v>16</v>
      </c>
      <c r="B8" s="44"/>
      <c r="C8" s="44"/>
      <c r="D8" s="44"/>
      <c r="E8" s="44"/>
      <c r="F8" s="44"/>
      <c r="G8" s="44"/>
      <c r="H8" s="44"/>
      <c r="I8" s="8"/>
      <c r="J8" s="8"/>
      <c r="K8" s="8"/>
      <c r="L8" s="8"/>
      <c r="M8" s="8"/>
      <c r="N8" s="8"/>
      <c r="O8" s="8"/>
      <c r="P8" s="8"/>
      <c r="Q8" s="8"/>
    </row>
    <row r="9" spans="1:17">
      <c r="A9" s="11"/>
      <c r="B9" s="11"/>
      <c r="C9" s="11"/>
      <c r="D9" s="11"/>
      <c r="E9" s="11"/>
      <c r="F9" s="11"/>
      <c r="G9" s="11"/>
      <c r="H9" s="11"/>
      <c r="I9" s="8"/>
      <c r="J9" s="8"/>
      <c r="K9" s="8"/>
      <c r="L9" s="8"/>
      <c r="M9" s="8"/>
      <c r="N9" s="8"/>
      <c r="O9" s="8"/>
      <c r="P9" s="8"/>
      <c r="Q9" s="8"/>
    </row>
    <row r="10" spans="1:17">
      <c r="A10" s="7" t="s">
        <v>17</v>
      </c>
      <c r="B10" s="7" t="s">
        <v>18</v>
      </c>
      <c r="C10" s="7" t="s">
        <v>19</v>
      </c>
      <c r="D10" s="7" t="s">
        <v>20</v>
      </c>
      <c r="E10" s="7" t="s">
        <v>21</v>
      </c>
      <c r="F10" s="7" t="s">
        <v>22</v>
      </c>
      <c r="G10" s="7" t="s">
        <v>23</v>
      </c>
      <c r="H10" s="7" t="s">
        <v>24</v>
      </c>
      <c r="I10" s="8"/>
      <c r="J10" s="8"/>
      <c r="K10" s="8"/>
      <c r="L10" s="8"/>
      <c r="M10" s="8"/>
      <c r="N10" s="8"/>
      <c r="O10" s="8"/>
      <c r="P10" s="8"/>
      <c r="Q10" s="8"/>
    </row>
    <row r="11" spans="1:17" ht="28.05" customHeight="1">
      <c r="A11" s="32">
        <f>'Test Execution'!E11</f>
        <v>53</v>
      </c>
      <c r="B11" s="33">
        <f>'Test Execution'!B11</f>
        <v>47</v>
      </c>
      <c r="C11" s="33">
        <f>'Test Execution'!C11</f>
        <v>6</v>
      </c>
      <c r="D11" s="34">
        <f>IF(A11=0,0,B11/A11)</f>
        <v>0.8867924528301887</v>
      </c>
      <c r="E11" s="33">
        <v>14</v>
      </c>
      <c r="F11" s="33">
        <v>6</v>
      </c>
      <c r="G11" s="33">
        <v>8</v>
      </c>
      <c r="H11" s="35">
        <f>IF(E11=0,0,G11/E11)</f>
        <v>0.5714285714285714</v>
      </c>
      <c r="I11" s="8"/>
      <c r="J11" s="8"/>
      <c r="K11" s="8"/>
      <c r="L11" s="8"/>
      <c r="M11" s="8"/>
      <c r="N11" s="8"/>
      <c r="O11" s="8"/>
      <c r="P11" s="8"/>
      <c r="Q11" s="8"/>
    </row>
    <row r="12" spans="1:17">
      <c r="A12" s="11"/>
      <c r="B12" s="11"/>
      <c r="C12" s="11"/>
      <c r="D12" s="11"/>
      <c r="E12" s="11"/>
      <c r="F12" s="11"/>
      <c r="G12" s="11"/>
      <c r="H12" s="11"/>
      <c r="I12" s="8"/>
      <c r="J12" s="8"/>
      <c r="K12" s="8"/>
      <c r="L12" s="8"/>
      <c r="M12" s="8"/>
      <c r="N12" s="8"/>
      <c r="O12" s="8"/>
      <c r="P12" s="8"/>
      <c r="Q12" s="8"/>
    </row>
    <row r="13" spans="1:17">
      <c r="A13" s="45" t="s">
        <v>25</v>
      </c>
      <c r="B13" s="45"/>
      <c r="C13" s="45"/>
      <c r="D13" s="45"/>
      <c r="E13" s="45"/>
      <c r="F13" s="45"/>
      <c r="G13" s="45"/>
      <c r="H13" s="45"/>
      <c r="I13" s="8"/>
      <c r="J13" s="8"/>
      <c r="K13" s="8"/>
      <c r="L13" s="8"/>
      <c r="M13" s="8"/>
      <c r="N13" s="8"/>
      <c r="O13" s="8"/>
      <c r="P13" s="8"/>
      <c r="Q13" s="8"/>
    </row>
    <row r="14" spans="1:17" ht="39.6">
      <c r="A14" s="1" t="s">
        <v>26</v>
      </c>
      <c r="B14" s="10" t="s">
        <v>27</v>
      </c>
      <c r="C14" s="11"/>
      <c r="D14" s="11"/>
      <c r="E14" s="11"/>
      <c r="F14" s="11"/>
      <c r="G14" s="11"/>
      <c r="H14" s="11"/>
      <c r="I14" s="8"/>
      <c r="J14" s="8"/>
      <c r="K14" s="8"/>
      <c r="L14" s="8"/>
      <c r="M14" s="8"/>
      <c r="N14" s="8"/>
      <c r="O14" s="8"/>
      <c r="P14" s="8"/>
      <c r="Q14" s="8"/>
    </row>
    <row r="15" spans="1:17" ht="39.6">
      <c r="A15" s="3" t="s">
        <v>28</v>
      </c>
      <c r="B15" s="12" t="s">
        <v>29</v>
      </c>
      <c r="C15" s="11"/>
      <c r="D15" s="11"/>
      <c r="E15" s="11"/>
      <c r="F15" s="11"/>
      <c r="G15" s="11"/>
      <c r="H15" s="11"/>
      <c r="I15" s="8"/>
      <c r="J15" s="8"/>
      <c r="K15" s="8"/>
      <c r="L15" s="8"/>
      <c r="M15" s="8"/>
      <c r="N15" s="8"/>
      <c r="O15" s="8"/>
      <c r="P15" s="8"/>
      <c r="Q15" s="8"/>
    </row>
    <row r="16" spans="1:17">
      <c r="A16" s="3" t="s">
        <v>30</v>
      </c>
      <c r="B16" s="12" t="s">
        <v>31</v>
      </c>
      <c r="C16" s="11"/>
      <c r="D16" s="11"/>
      <c r="E16" s="11"/>
      <c r="F16" s="11"/>
      <c r="G16" s="11"/>
      <c r="H16" s="11"/>
      <c r="I16" s="8"/>
      <c r="J16" s="8"/>
      <c r="K16" s="8"/>
      <c r="L16" s="8"/>
      <c r="M16" s="8"/>
      <c r="N16" s="8"/>
      <c r="O16" s="8"/>
      <c r="P16" s="8"/>
      <c r="Q16" s="8"/>
    </row>
    <row r="17" spans="1:17" ht="39.6">
      <c r="A17" s="3" t="s">
        <v>32</v>
      </c>
      <c r="B17" s="12" t="s">
        <v>33</v>
      </c>
      <c r="C17" s="11"/>
      <c r="D17" s="11"/>
      <c r="E17" s="11"/>
      <c r="F17" s="11"/>
      <c r="G17" s="11"/>
      <c r="H17" s="11"/>
      <c r="I17" s="8"/>
      <c r="J17" s="8"/>
      <c r="K17" s="8"/>
      <c r="L17" s="8"/>
      <c r="M17" s="8"/>
      <c r="N17" s="8"/>
      <c r="O17" s="8"/>
      <c r="P17" s="8"/>
      <c r="Q17" s="8"/>
    </row>
    <row r="18" spans="1:17" ht="39.6">
      <c r="A18" s="5" t="s">
        <v>34</v>
      </c>
      <c r="B18" s="14" t="s">
        <v>35</v>
      </c>
      <c r="C18" s="11"/>
      <c r="D18" s="11"/>
      <c r="E18" s="11"/>
      <c r="F18" s="11"/>
      <c r="G18" s="11"/>
      <c r="H18" s="11"/>
      <c r="I18" s="8"/>
      <c r="J18" s="8"/>
      <c r="K18" s="8"/>
      <c r="L18" s="8"/>
      <c r="M18" s="8"/>
      <c r="N18" s="8"/>
      <c r="O18" s="8"/>
      <c r="P18" s="8"/>
      <c r="Q18" s="8"/>
    </row>
    <row r="19" spans="1:17">
      <c r="A19" s="11"/>
      <c r="B19" s="11"/>
      <c r="C19" s="11"/>
      <c r="D19" s="11"/>
      <c r="E19" s="11"/>
      <c r="F19" s="11"/>
      <c r="G19" s="11"/>
      <c r="H19" s="11"/>
      <c r="I19" s="8"/>
      <c r="J19" s="8"/>
      <c r="K19" s="8"/>
      <c r="L19" s="8"/>
      <c r="M19" s="8"/>
      <c r="N19" s="8"/>
      <c r="O19" s="8"/>
      <c r="P19" s="8"/>
      <c r="Q19" s="8"/>
    </row>
    <row r="20" spans="1:17">
      <c r="A20" s="44" t="s">
        <v>36</v>
      </c>
      <c r="B20" s="44"/>
      <c r="C20" s="44"/>
      <c r="D20" s="44"/>
      <c r="E20" s="44"/>
      <c r="F20" s="44"/>
      <c r="G20" s="44"/>
      <c r="H20" s="44"/>
      <c r="I20" s="8"/>
      <c r="J20" s="8"/>
      <c r="K20" s="8"/>
      <c r="L20" s="8"/>
      <c r="M20" s="8"/>
      <c r="N20" s="8"/>
      <c r="O20" s="8"/>
      <c r="P20" s="8"/>
      <c r="Q20" s="8"/>
    </row>
    <row r="21" spans="1:17">
      <c r="A21" s="11"/>
      <c r="B21" s="11"/>
      <c r="C21" s="11"/>
      <c r="D21" s="11"/>
      <c r="E21" s="11"/>
      <c r="F21" s="11"/>
      <c r="G21" s="11"/>
      <c r="H21" s="11"/>
      <c r="I21" s="8"/>
      <c r="J21" s="8"/>
      <c r="K21" s="8"/>
      <c r="L21" s="8"/>
      <c r="M21" s="8"/>
      <c r="N21" s="8"/>
      <c r="O21" s="8"/>
      <c r="P21" s="8"/>
      <c r="Q21" s="8"/>
    </row>
    <row r="22" spans="1:17">
      <c r="A22" s="7" t="s">
        <v>37</v>
      </c>
      <c r="B22" s="7" t="s">
        <v>38</v>
      </c>
      <c r="C22" s="7" t="s">
        <v>39</v>
      </c>
      <c r="D22" s="7" t="s">
        <v>40</v>
      </c>
      <c r="E22" s="11"/>
      <c r="F22" s="44" t="s">
        <v>41</v>
      </c>
      <c r="G22" s="44"/>
      <c r="H22" s="44"/>
      <c r="I22" s="8"/>
      <c r="J22" s="8"/>
      <c r="K22" s="8"/>
      <c r="L22" s="8"/>
      <c r="M22" s="8"/>
      <c r="N22" s="8"/>
      <c r="O22" s="8"/>
      <c r="P22" s="8"/>
      <c r="Q22" s="8"/>
    </row>
    <row r="23" spans="1:17">
      <c r="A23" s="36" t="s">
        <v>42</v>
      </c>
      <c r="B23" s="9">
        <v>0</v>
      </c>
      <c r="C23" s="9" t="s">
        <v>43</v>
      </c>
      <c r="D23" s="10" t="s">
        <v>43</v>
      </c>
      <c r="E23" s="11"/>
      <c r="F23" s="46" t="s">
        <v>44</v>
      </c>
      <c r="G23" s="47"/>
      <c r="H23" s="48"/>
      <c r="I23" s="8"/>
      <c r="J23" s="8"/>
      <c r="K23" s="8"/>
      <c r="L23" s="8"/>
      <c r="M23" s="8"/>
      <c r="N23" s="8"/>
      <c r="O23" s="8"/>
      <c r="P23" s="8"/>
      <c r="Q23" s="8"/>
    </row>
    <row r="24" spans="1:17">
      <c r="A24" s="37" t="s">
        <v>45</v>
      </c>
      <c r="B24" s="11">
        <v>0</v>
      </c>
      <c r="C24" s="11" t="s">
        <v>43</v>
      </c>
      <c r="D24" s="12" t="s">
        <v>43</v>
      </c>
      <c r="E24" s="11"/>
      <c r="F24" s="49"/>
      <c r="G24" s="50"/>
      <c r="H24" s="51"/>
      <c r="I24" s="8"/>
      <c r="J24" s="8"/>
      <c r="K24" s="8"/>
      <c r="L24" s="8"/>
      <c r="M24" s="8"/>
      <c r="N24" s="8"/>
      <c r="O24" s="8"/>
      <c r="P24" s="8"/>
      <c r="Q24" s="8"/>
    </row>
    <row r="25" spans="1:17" ht="39.6">
      <c r="A25" s="37" t="s">
        <v>46</v>
      </c>
      <c r="B25" s="11">
        <v>3</v>
      </c>
      <c r="C25" s="11" t="s">
        <v>47</v>
      </c>
      <c r="D25" s="12" t="s">
        <v>48</v>
      </c>
      <c r="E25" s="11"/>
      <c r="F25" s="52" t="s">
        <v>49</v>
      </c>
      <c r="G25" s="53"/>
      <c r="H25" s="54"/>
      <c r="I25" s="8"/>
      <c r="J25" s="8"/>
      <c r="K25" s="8"/>
      <c r="L25" s="8"/>
      <c r="M25" s="8"/>
      <c r="N25" s="8"/>
      <c r="O25" s="8"/>
      <c r="P25" s="8"/>
      <c r="Q25" s="8"/>
    </row>
    <row r="26" spans="1:17" ht="39.6">
      <c r="A26" s="38" t="s">
        <v>50</v>
      </c>
      <c r="B26" s="13">
        <v>3</v>
      </c>
      <c r="C26" s="13" t="s">
        <v>51</v>
      </c>
      <c r="D26" s="14" t="s">
        <v>52</v>
      </c>
      <c r="E26" s="11"/>
      <c r="F26" s="55"/>
      <c r="G26" s="56"/>
      <c r="H26" s="57"/>
      <c r="I26" s="8"/>
      <c r="J26" s="8"/>
      <c r="K26" s="8"/>
      <c r="L26" s="8"/>
      <c r="M26" s="8"/>
      <c r="N26" s="8"/>
      <c r="O26" s="8"/>
      <c r="P26" s="8"/>
      <c r="Q26" s="8"/>
    </row>
    <row r="27" spans="1:1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1:17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1:17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1:17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1:17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1:17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1:17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1:17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1:17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1:17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  <row r="37" spans="1:1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</row>
    <row r="38" spans="1:17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</row>
    <row r="39" spans="1:17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</row>
    <row r="40" spans="1:17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</row>
    <row r="41" spans="1:17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</row>
    <row r="42" spans="1:17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</row>
    <row r="43" spans="1:17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</row>
    <row r="44" spans="1:17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</row>
    <row r="45" spans="1:17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</row>
    <row r="46" spans="1:17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</row>
    <row r="47" spans="1:1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</row>
    <row r="48" spans="1:17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</row>
    <row r="49" spans="1:17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</row>
    <row r="50" spans="1:17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</row>
    <row r="51" spans="1:17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</row>
    <row r="52" spans="1:17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</row>
    <row r="53" spans="1:17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</row>
    <row r="54" spans="1:17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</row>
    <row r="55" spans="1:17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</row>
    <row r="56" spans="1:17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</row>
    <row r="57" spans="1:1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</row>
    <row r="58" spans="1:17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</row>
    <row r="59" spans="1:17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</row>
    <row r="60" spans="1:17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</row>
  </sheetData>
  <mergeCells count="7">
    <mergeCell ref="F23:H24"/>
    <mergeCell ref="F25:H26"/>
    <mergeCell ref="A1:H1"/>
    <mergeCell ref="A8:H8"/>
    <mergeCell ref="A13:H13"/>
    <mergeCell ref="A20:H20"/>
    <mergeCell ref="F22:H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0"/>
  <sheetViews>
    <sheetView workbookViewId="0">
      <pane ySplit="3" topLeftCell="A4" activePane="bottomLeft" state="frozen"/>
      <selection pane="bottomLeft" activeCell="J23" sqref="J23"/>
    </sheetView>
  </sheetViews>
  <sheetFormatPr defaultRowHeight="13.8"/>
  <cols>
    <col min="1" max="1" width="24" customWidth="1"/>
    <col min="2" max="3" width="12" customWidth="1"/>
    <col min="4" max="4" width="14" customWidth="1"/>
    <col min="5" max="5" width="10" customWidth="1"/>
    <col min="6" max="6" width="12" customWidth="1"/>
    <col min="7" max="7" width="38" customWidth="1"/>
  </cols>
  <sheetData>
    <row r="1" spans="1:17" ht="19.2">
      <c r="A1" s="43" t="s">
        <v>53</v>
      </c>
      <c r="B1" s="43"/>
      <c r="C1" s="43"/>
      <c r="D1" s="43"/>
      <c r="E1" s="43"/>
      <c r="F1" s="43"/>
      <c r="G1" s="43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>
      <c r="A3" s="7" t="s">
        <v>54</v>
      </c>
      <c r="B3" s="7" t="s">
        <v>18</v>
      </c>
      <c r="C3" s="7" t="s">
        <v>19</v>
      </c>
      <c r="D3" s="7" t="s">
        <v>55</v>
      </c>
      <c r="E3" s="7" t="s">
        <v>56</v>
      </c>
      <c r="F3" s="7" t="s">
        <v>20</v>
      </c>
      <c r="G3" s="7" t="s">
        <v>57</v>
      </c>
      <c r="H3" s="8"/>
      <c r="I3" s="8"/>
      <c r="J3" s="8"/>
      <c r="K3" s="8"/>
      <c r="L3" s="8"/>
      <c r="M3" s="8"/>
      <c r="N3" s="8"/>
      <c r="O3" s="8"/>
      <c r="P3" s="8"/>
      <c r="Q3" s="8"/>
    </row>
    <row r="4" spans="1:17">
      <c r="A4" s="15" t="s">
        <v>58</v>
      </c>
      <c r="B4" s="16">
        <v>11</v>
      </c>
      <c r="C4" s="16">
        <v>0</v>
      </c>
      <c r="D4" s="16">
        <v>0</v>
      </c>
      <c r="E4" s="16">
        <v>11</v>
      </c>
      <c r="F4" s="20">
        <f t="shared" ref="F4:F11" si="0">IF(E4=0,0,B4/E4)</f>
        <v>1</v>
      </c>
      <c r="G4" s="10" t="s">
        <v>59</v>
      </c>
      <c r="H4" s="8"/>
      <c r="I4" s="8"/>
      <c r="J4" s="8"/>
      <c r="K4" s="8"/>
      <c r="L4" s="8"/>
      <c r="M4" s="8"/>
      <c r="N4" s="8"/>
      <c r="O4" s="8"/>
      <c r="P4" s="8"/>
      <c r="Q4" s="8"/>
    </row>
    <row r="5" spans="1:17">
      <c r="A5" s="17" t="s">
        <v>60</v>
      </c>
      <c r="B5" s="8">
        <v>9</v>
      </c>
      <c r="C5" s="8">
        <v>0</v>
      </c>
      <c r="D5" s="8">
        <v>0</v>
      </c>
      <c r="E5" s="8">
        <v>9</v>
      </c>
      <c r="F5" s="21">
        <f t="shared" si="0"/>
        <v>1</v>
      </c>
      <c r="G5" s="12" t="s">
        <v>61</v>
      </c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>
      <c r="A6" s="17" t="s">
        <v>62</v>
      </c>
      <c r="B6" s="8">
        <v>6</v>
      </c>
      <c r="C6" s="8">
        <v>0</v>
      </c>
      <c r="D6" s="8">
        <v>0</v>
      </c>
      <c r="E6" s="8">
        <v>6</v>
      </c>
      <c r="F6" s="21">
        <f t="shared" si="0"/>
        <v>1</v>
      </c>
      <c r="G6" s="12" t="s">
        <v>59</v>
      </c>
      <c r="H6" s="8"/>
      <c r="I6" s="8"/>
      <c r="J6" s="8"/>
      <c r="K6" s="8"/>
      <c r="L6" s="8"/>
      <c r="M6" s="8"/>
      <c r="N6" s="8"/>
      <c r="O6" s="8"/>
      <c r="P6" s="8"/>
      <c r="Q6" s="8"/>
    </row>
    <row r="7" spans="1:17">
      <c r="A7" s="17" t="s">
        <v>63</v>
      </c>
      <c r="B7" s="8">
        <v>8</v>
      </c>
      <c r="C7" s="8">
        <v>1</v>
      </c>
      <c r="D7" s="8">
        <v>0</v>
      </c>
      <c r="E7" s="8">
        <v>9</v>
      </c>
      <c r="F7" s="21">
        <f t="shared" si="0"/>
        <v>0.88888888888888884</v>
      </c>
      <c r="G7" s="12" t="s">
        <v>64</v>
      </c>
      <c r="H7" s="8"/>
      <c r="I7" s="8"/>
      <c r="J7" s="8"/>
      <c r="K7" s="8"/>
      <c r="L7" s="8"/>
      <c r="M7" s="8"/>
      <c r="N7" s="8"/>
      <c r="O7" s="8"/>
      <c r="P7" s="8"/>
      <c r="Q7" s="8"/>
    </row>
    <row r="8" spans="1:17">
      <c r="A8" s="17" t="s">
        <v>65</v>
      </c>
      <c r="B8" s="8">
        <v>4</v>
      </c>
      <c r="C8" s="8">
        <v>2</v>
      </c>
      <c r="D8" s="8">
        <v>0</v>
      </c>
      <c r="E8" s="8">
        <v>6</v>
      </c>
      <c r="F8" s="21">
        <f t="shared" si="0"/>
        <v>0.66666666666666663</v>
      </c>
      <c r="G8" s="12" t="s">
        <v>66</v>
      </c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>
      <c r="A9" s="17" t="s">
        <v>67</v>
      </c>
      <c r="B9" s="8">
        <v>3</v>
      </c>
      <c r="C9" s="8">
        <v>1</v>
      </c>
      <c r="D9" s="8">
        <v>0</v>
      </c>
      <c r="E9" s="8">
        <v>4</v>
      </c>
      <c r="F9" s="21">
        <f t="shared" si="0"/>
        <v>0.75</v>
      </c>
      <c r="G9" s="12" t="s">
        <v>66</v>
      </c>
      <c r="H9" s="8"/>
      <c r="I9" s="8"/>
      <c r="J9" s="8"/>
      <c r="K9" s="8"/>
      <c r="L9" s="8"/>
      <c r="M9" s="8"/>
      <c r="N9" s="8"/>
      <c r="O9" s="8"/>
      <c r="P9" s="8"/>
      <c r="Q9" s="8"/>
    </row>
    <row r="10" spans="1:17">
      <c r="A10" s="22" t="s">
        <v>68</v>
      </c>
      <c r="B10" s="23">
        <v>6</v>
      </c>
      <c r="C10" s="23">
        <v>2</v>
      </c>
      <c r="D10" s="23">
        <v>0</v>
      </c>
      <c r="E10" s="23">
        <v>8</v>
      </c>
      <c r="F10" s="24">
        <f t="shared" si="0"/>
        <v>0.75</v>
      </c>
      <c r="G10" s="25" t="s">
        <v>69</v>
      </c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7">
      <c r="A11" s="39" t="s">
        <v>70</v>
      </c>
      <c r="B11" s="40">
        <f>SUM(B4:B10)</f>
        <v>47</v>
      </c>
      <c r="C11" s="40">
        <f>SUM(C4:C10)</f>
        <v>6</v>
      </c>
      <c r="D11" s="40">
        <f>SUM(D4:D10)</f>
        <v>0</v>
      </c>
      <c r="E11" s="40">
        <f>SUM(E4:E10)</f>
        <v>53</v>
      </c>
      <c r="F11" s="41">
        <f t="shared" si="0"/>
        <v>0.8867924528301887</v>
      </c>
      <c r="G11" s="42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17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>
      <c r="A13" s="44" t="s">
        <v>71</v>
      </c>
      <c r="B13" s="44"/>
      <c r="C13" s="44"/>
      <c r="D13" s="44"/>
      <c r="E13" s="44"/>
      <c r="F13" s="44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7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17">
      <c r="A15" s="7" t="s">
        <v>72</v>
      </c>
      <c r="B15" s="7" t="s">
        <v>73</v>
      </c>
      <c r="C15" s="7" t="s">
        <v>18</v>
      </c>
      <c r="D15" s="7" t="s">
        <v>19</v>
      </c>
      <c r="E15" s="7" t="s">
        <v>20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spans="1:17">
      <c r="A16" s="15" t="s">
        <v>59</v>
      </c>
      <c r="B16" s="16">
        <v>26</v>
      </c>
      <c r="C16" s="16">
        <v>26</v>
      </c>
      <c r="D16" s="16">
        <v>0</v>
      </c>
      <c r="E16" s="26">
        <f>IF(B16=0,0,C16/B16)</f>
        <v>1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spans="1:17">
      <c r="A17" s="17" t="s">
        <v>74</v>
      </c>
      <c r="B17" s="8">
        <v>7</v>
      </c>
      <c r="C17" s="8">
        <v>7</v>
      </c>
      <c r="D17" s="8">
        <v>0</v>
      </c>
      <c r="E17" s="27">
        <f>IF(B17=0,0,C17/B17)</f>
        <v>1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spans="1:17">
      <c r="A18" s="17" t="s">
        <v>75</v>
      </c>
      <c r="B18" s="8">
        <v>7</v>
      </c>
      <c r="C18" s="8">
        <v>6</v>
      </c>
      <c r="D18" s="8">
        <v>1</v>
      </c>
      <c r="E18" s="27">
        <f>IF(B18=0,0,C18/B18)</f>
        <v>0.8571428571428571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spans="1:17">
      <c r="A19" s="17" t="s">
        <v>76</v>
      </c>
      <c r="B19" s="8">
        <v>7</v>
      </c>
      <c r="C19" s="8">
        <v>5</v>
      </c>
      <c r="D19" s="8">
        <v>2</v>
      </c>
      <c r="E19" s="27">
        <f>IF(B19=0,0,C19/B19)</f>
        <v>0.7142857142857143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 spans="1:17">
      <c r="A20" s="18" t="s">
        <v>77</v>
      </c>
      <c r="B20" s="19">
        <v>6</v>
      </c>
      <c r="C20" s="19">
        <v>3</v>
      </c>
      <c r="D20" s="19">
        <v>3</v>
      </c>
      <c r="E20" s="28">
        <f>IF(B20=0,0,C20/B20)</f>
        <v>0.5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spans="1:17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spans="1:17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spans="1:17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spans="1:17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spans="1:17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spans="1:17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spans="1:1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1:17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1:17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1:17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1:17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1:17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1:17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1:17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1:17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1:17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  <row r="37" spans="1:1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</row>
    <row r="38" spans="1:17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</row>
    <row r="39" spans="1:17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</row>
    <row r="40" spans="1:17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</row>
    <row r="41" spans="1:17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</row>
    <row r="42" spans="1:17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</row>
    <row r="43" spans="1:17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</row>
    <row r="44" spans="1:17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</row>
    <row r="45" spans="1:17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</row>
    <row r="46" spans="1:17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</row>
    <row r="47" spans="1:1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</row>
    <row r="48" spans="1:17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</row>
    <row r="49" spans="1:17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</row>
    <row r="50" spans="1:17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</row>
    <row r="51" spans="1:17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</row>
    <row r="52" spans="1:17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</row>
    <row r="53" spans="1:17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</row>
    <row r="54" spans="1:17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</row>
    <row r="55" spans="1:17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</row>
    <row r="56" spans="1:17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</row>
    <row r="57" spans="1:1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</row>
    <row r="58" spans="1:17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</row>
    <row r="59" spans="1:17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</row>
    <row r="60" spans="1:17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</row>
  </sheetData>
  <mergeCells count="2">
    <mergeCell ref="A1:G1"/>
    <mergeCell ref="A13:F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60"/>
  <sheetViews>
    <sheetView workbookViewId="0">
      <pane ySplit="3" topLeftCell="A4" activePane="bottomLeft" state="frozen"/>
      <selection pane="bottomLeft" sqref="A1:F1"/>
    </sheetView>
  </sheetViews>
  <sheetFormatPr defaultRowHeight="13.8"/>
  <cols>
    <col min="1" max="1" width="14" customWidth="1"/>
    <col min="2" max="2" width="18" customWidth="1"/>
    <col min="3" max="3" width="22" customWidth="1"/>
    <col min="4" max="4" width="14" customWidth="1"/>
    <col min="5" max="5" width="18" customWidth="1"/>
    <col min="6" max="6" width="12" customWidth="1"/>
  </cols>
  <sheetData>
    <row r="1" spans="1:17" ht="19.2">
      <c r="A1" s="43" t="s">
        <v>78</v>
      </c>
      <c r="B1" s="43"/>
      <c r="C1" s="43"/>
      <c r="D1" s="43"/>
      <c r="E1" s="43"/>
      <c r="F1" s="43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>
      <c r="A3" s="7" t="s">
        <v>79</v>
      </c>
      <c r="B3" s="7" t="s">
        <v>80</v>
      </c>
      <c r="C3" s="8"/>
      <c r="D3" s="7" t="s">
        <v>81</v>
      </c>
      <c r="E3" s="7" t="s">
        <v>82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17">
      <c r="A4" s="15" t="s">
        <v>83</v>
      </c>
      <c r="B4" s="29">
        <v>14</v>
      </c>
      <c r="C4" s="8"/>
      <c r="D4" s="15" t="s">
        <v>42</v>
      </c>
      <c r="E4" s="29">
        <v>0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spans="1:17">
      <c r="A5" s="17" t="s">
        <v>23</v>
      </c>
      <c r="B5" s="30">
        <v>8</v>
      </c>
      <c r="C5" s="8"/>
      <c r="D5" s="17" t="s">
        <v>45</v>
      </c>
      <c r="E5" s="30">
        <v>0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>
      <c r="A6" s="17" t="s">
        <v>22</v>
      </c>
      <c r="B6" s="30">
        <v>6</v>
      </c>
      <c r="C6" s="8"/>
      <c r="D6" s="17" t="s">
        <v>46</v>
      </c>
      <c r="E6" s="30">
        <v>3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 spans="1:17">
      <c r="A7" s="17" t="s">
        <v>84</v>
      </c>
      <c r="B7" s="30">
        <v>8</v>
      </c>
      <c r="C7" s="8"/>
      <c r="D7" s="18" t="s">
        <v>50</v>
      </c>
      <c r="E7" s="31">
        <v>3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spans="1:17">
      <c r="A8" s="18" t="s">
        <v>85</v>
      </c>
      <c r="B8" s="31">
        <v>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1:17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7">
      <c r="A11" s="7" t="s">
        <v>86</v>
      </c>
      <c r="B11" s="7" t="s">
        <v>87</v>
      </c>
      <c r="C11" s="7" t="s">
        <v>54</v>
      </c>
      <c r="D11" s="7" t="s">
        <v>37</v>
      </c>
      <c r="E11" s="7" t="s">
        <v>88</v>
      </c>
      <c r="F11" s="7" t="s">
        <v>89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17">
      <c r="A12" s="15" t="s">
        <v>90</v>
      </c>
      <c r="B12" s="16" t="s">
        <v>91</v>
      </c>
      <c r="C12" s="16" t="s">
        <v>92</v>
      </c>
      <c r="D12" s="16" t="s">
        <v>50</v>
      </c>
      <c r="E12" s="16" t="s">
        <v>75</v>
      </c>
      <c r="F12" s="29" t="s">
        <v>38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>
      <c r="A13" s="17" t="s">
        <v>93</v>
      </c>
      <c r="B13" s="8" t="s">
        <v>94</v>
      </c>
      <c r="C13" s="8" t="s">
        <v>95</v>
      </c>
      <c r="D13" s="8" t="s">
        <v>50</v>
      </c>
      <c r="E13" s="8" t="s">
        <v>76</v>
      </c>
      <c r="F13" s="30" t="s">
        <v>38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7">
      <c r="A14" s="17" t="s">
        <v>96</v>
      </c>
      <c r="B14" s="8" t="s">
        <v>97</v>
      </c>
      <c r="C14" s="8" t="s">
        <v>98</v>
      </c>
      <c r="D14" s="8" t="s">
        <v>46</v>
      </c>
      <c r="E14" s="8" t="s">
        <v>76</v>
      </c>
      <c r="F14" s="30" t="s">
        <v>38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17">
      <c r="A15" s="17" t="s">
        <v>99</v>
      </c>
      <c r="B15" s="8" t="s">
        <v>100</v>
      </c>
      <c r="C15" s="8" t="s">
        <v>101</v>
      </c>
      <c r="D15" s="8" t="s">
        <v>50</v>
      </c>
      <c r="E15" s="8" t="s">
        <v>77</v>
      </c>
      <c r="F15" s="30" t="s">
        <v>38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spans="1:17">
      <c r="A16" s="17" t="s">
        <v>102</v>
      </c>
      <c r="B16" s="8" t="s">
        <v>103</v>
      </c>
      <c r="C16" s="8" t="s">
        <v>104</v>
      </c>
      <c r="D16" s="8" t="s">
        <v>46</v>
      </c>
      <c r="E16" s="8" t="s">
        <v>77</v>
      </c>
      <c r="F16" s="30" t="s">
        <v>38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spans="1:17">
      <c r="A17" s="18" t="s">
        <v>105</v>
      </c>
      <c r="B17" s="19" t="s">
        <v>106</v>
      </c>
      <c r="C17" s="19" t="s">
        <v>104</v>
      </c>
      <c r="D17" s="19" t="s">
        <v>46</v>
      </c>
      <c r="E17" s="19" t="s">
        <v>77</v>
      </c>
      <c r="F17" s="31" t="s">
        <v>38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spans="1:17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spans="1:17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 spans="1:17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spans="1:17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spans="1:17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spans="1:17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spans="1:17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spans="1:17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spans="1:17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spans="1:1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1:17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1:17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1:17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1:17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1:17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1:17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1:17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1:17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1:17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  <row r="37" spans="1:1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</row>
    <row r="38" spans="1:17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</row>
    <row r="39" spans="1:17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</row>
    <row r="40" spans="1:17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</row>
    <row r="41" spans="1:17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</row>
    <row r="42" spans="1:17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</row>
    <row r="43" spans="1:17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</row>
    <row r="44" spans="1:17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</row>
    <row r="45" spans="1:17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</row>
    <row r="46" spans="1:17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</row>
    <row r="47" spans="1:1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</row>
    <row r="48" spans="1:17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</row>
    <row r="49" spans="1:17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</row>
    <row r="50" spans="1:17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</row>
    <row r="51" spans="1:17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</row>
    <row r="52" spans="1:17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</row>
    <row r="53" spans="1:17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</row>
    <row r="54" spans="1:17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</row>
    <row r="55" spans="1:17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</row>
    <row r="56" spans="1:17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</row>
    <row r="57" spans="1:1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</row>
    <row r="58" spans="1:17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</row>
    <row r="59" spans="1:17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</row>
    <row r="60" spans="1:17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60"/>
  <sheetViews>
    <sheetView zoomScale="58" workbookViewId="0">
      <pane ySplit="3" topLeftCell="A6" activePane="bottomLeft" state="frozen"/>
      <selection pane="bottomLeft" activeCell="D5" sqref="D5"/>
    </sheetView>
  </sheetViews>
  <sheetFormatPr defaultRowHeight="13.8"/>
  <cols>
    <col min="1" max="1" width="12" customWidth="1"/>
    <col min="2" max="3" width="18" customWidth="1"/>
    <col min="4" max="4" width="48" customWidth="1"/>
    <col min="5" max="5" width="12" customWidth="1"/>
    <col min="6" max="6" width="16" customWidth="1"/>
    <col min="7" max="8" width="14" customWidth="1"/>
    <col min="9" max="9" width="35.09765625" customWidth="1"/>
    <col min="10" max="10" width="10" customWidth="1"/>
  </cols>
  <sheetData>
    <row r="1" spans="1:17" ht="19.2">
      <c r="A1" s="43" t="s">
        <v>107</v>
      </c>
      <c r="B1" s="43"/>
      <c r="C1" s="43"/>
      <c r="D1" s="43"/>
      <c r="E1" s="43"/>
      <c r="F1" s="43"/>
      <c r="G1" s="43"/>
      <c r="H1" s="43"/>
      <c r="I1" s="43"/>
      <c r="J1" s="43"/>
      <c r="K1" s="8"/>
      <c r="L1" s="8"/>
      <c r="M1" s="8"/>
      <c r="N1" s="8"/>
      <c r="O1" s="8"/>
      <c r="P1" s="8"/>
      <c r="Q1" s="8"/>
    </row>
    <row r="2" spans="1:17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>
      <c r="A3" s="7" t="s">
        <v>86</v>
      </c>
      <c r="B3" s="7" t="s">
        <v>108</v>
      </c>
      <c r="C3" s="7" t="s">
        <v>54</v>
      </c>
      <c r="D3" s="7" t="s">
        <v>109</v>
      </c>
      <c r="E3" s="7" t="s">
        <v>37</v>
      </c>
      <c r="F3" s="7" t="s">
        <v>88</v>
      </c>
      <c r="G3" s="7" t="s">
        <v>110</v>
      </c>
      <c r="H3" s="7" t="s">
        <v>111</v>
      </c>
      <c r="I3" s="7" t="s">
        <v>112</v>
      </c>
      <c r="J3" s="7" t="s">
        <v>89</v>
      </c>
      <c r="K3" s="8"/>
      <c r="L3" s="8"/>
      <c r="M3" s="8"/>
      <c r="N3" s="8"/>
      <c r="O3" s="8"/>
      <c r="P3" s="8"/>
      <c r="Q3" s="8"/>
    </row>
    <row r="4" spans="1:17" ht="147.6" customHeight="1">
      <c r="A4" s="68" t="s">
        <v>90</v>
      </c>
      <c r="B4" s="68" t="s">
        <v>91</v>
      </c>
      <c r="C4" s="68" t="s">
        <v>92</v>
      </c>
      <c r="D4" s="69" t="s">
        <v>113</v>
      </c>
      <c r="E4" s="68" t="s">
        <v>50</v>
      </c>
      <c r="F4" s="68" t="s">
        <v>75</v>
      </c>
      <c r="G4" s="68" t="s">
        <v>114</v>
      </c>
      <c r="H4" s="68" t="s">
        <v>115</v>
      </c>
      <c r="I4" s="68"/>
      <c r="J4" s="68" t="s">
        <v>38</v>
      </c>
      <c r="K4" s="8"/>
      <c r="L4" s="8"/>
      <c r="M4" s="8"/>
      <c r="N4" s="8"/>
      <c r="O4" s="8"/>
      <c r="P4" s="8"/>
      <c r="Q4" s="8"/>
    </row>
    <row r="5" spans="1:17" ht="148.80000000000001" customHeight="1">
      <c r="A5" s="68" t="s">
        <v>93</v>
      </c>
      <c r="B5" s="68" t="s">
        <v>94</v>
      </c>
      <c r="C5" s="68" t="s">
        <v>95</v>
      </c>
      <c r="D5" s="69" t="s">
        <v>116</v>
      </c>
      <c r="E5" s="68" t="s">
        <v>50</v>
      </c>
      <c r="F5" s="68" t="s">
        <v>76</v>
      </c>
      <c r="G5" s="68" t="s">
        <v>117</v>
      </c>
      <c r="H5" s="68" t="s">
        <v>118</v>
      </c>
      <c r="I5" s="68"/>
      <c r="J5" s="68" t="s">
        <v>38</v>
      </c>
      <c r="K5" s="8"/>
      <c r="L5" s="8"/>
      <c r="M5" s="8"/>
      <c r="N5" s="8"/>
      <c r="O5" s="8"/>
      <c r="P5" s="8"/>
      <c r="Q5" s="8"/>
    </row>
    <row r="6" spans="1:17" ht="153" customHeight="1">
      <c r="A6" s="68" t="s">
        <v>96</v>
      </c>
      <c r="B6" s="68" t="s">
        <v>97</v>
      </c>
      <c r="C6" s="68" t="s">
        <v>98</v>
      </c>
      <c r="D6" s="69" t="s">
        <v>119</v>
      </c>
      <c r="E6" s="68" t="s">
        <v>46</v>
      </c>
      <c r="F6" s="68" t="s">
        <v>76</v>
      </c>
      <c r="G6" s="68" t="s">
        <v>120</v>
      </c>
      <c r="H6" s="68" t="s">
        <v>121</v>
      </c>
      <c r="I6" s="68"/>
      <c r="J6" s="68" t="s">
        <v>38</v>
      </c>
      <c r="K6" s="8"/>
      <c r="L6" s="8"/>
      <c r="M6" s="8"/>
      <c r="N6" s="8"/>
      <c r="O6" s="8"/>
      <c r="P6" s="8"/>
      <c r="Q6" s="8"/>
    </row>
    <row r="7" spans="1:17" ht="133.80000000000001" customHeight="1">
      <c r="A7" s="68" t="s">
        <v>99</v>
      </c>
      <c r="B7" s="68" t="s">
        <v>100</v>
      </c>
      <c r="C7" s="68" t="s">
        <v>101</v>
      </c>
      <c r="D7" s="69" t="s">
        <v>122</v>
      </c>
      <c r="E7" s="68" t="s">
        <v>50</v>
      </c>
      <c r="F7" s="68" t="s">
        <v>77</v>
      </c>
      <c r="G7" s="68" t="s">
        <v>123</v>
      </c>
      <c r="H7" s="68" t="s">
        <v>124</v>
      </c>
      <c r="I7" s="68"/>
      <c r="J7" s="68" t="s">
        <v>38</v>
      </c>
      <c r="K7" s="8"/>
      <c r="L7" s="8"/>
      <c r="M7" s="8"/>
      <c r="N7" s="8"/>
      <c r="O7" s="8"/>
      <c r="P7" s="8"/>
      <c r="Q7" s="8"/>
    </row>
    <row r="8" spans="1:17" ht="156.6" customHeight="1">
      <c r="A8" s="68" t="s">
        <v>102</v>
      </c>
      <c r="B8" s="68" t="s">
        <v>103</v>
      </c>
      <c r="C8" s="68" t="s">
        <v>104</v>
      </c>
      <c r="D8" s="69" t="s">
        <v>125</v>
      </c>
      <c r="E8" s="68" t="s">
        <v>46</v>
      </c>
      <c r="F8" s="68" t="s">
        <v>77</v>
      </c>
      <c r="G8" s="68" t="s">
        <v>121</v>
      </c>
      <c r="H8" s="68" t="s">
        <v>124</v>
      </c>
      <c r="I8" s="68"/>
      <c r="J8" s="68" t="s">
        <v>38</v>
      </c>
      <c r="K8" s="8"/>
      <c r="L8" s="8"/>
      <c r="M8" s="8"/>
      <c r="N8" s="8"/>
      <c r="O8" s="8"/>
      <c r="P8" s="8"/>
      <c r="Q8" s="8"/>
    </row>
    <row r="9" spans="1:17" ht="132.6" customHeight="1">
      <c r="A9" s="68" t="s">
        <v>105</v>
      </c>
      <c r="B9" s="68" t="s">
        <v>106</v>
      </c>
      <c r="C9" s="68" t="s">
        <v>104</v>
      </c>
      <c r="D9" s="69" t="s">
        <v>126</v>
      </c>
      <c r="E9" s="68" t="s">
        <v>46</v>
      </c>
      <c r="F9" s="68" t="s">
        <v>77</v>
      </c>
      <c r="G9" s="68" t="s">
        <v>124</v>
      </c>
      <c r="H9" s="68" t="s">
        <v>124</v>
      </c>
      <c r="I9" s="68"/>
      <c r="J9" s="68" t="s">
        <v>38</v>
      </c>
      <c r="K9" s="8"/>
      <c r="L9" s="8"/>
      <c r="M9" s="8"/>
      <c r="N9" s="8"/>
      <c r="O9" s="8"/>
      <c r="P9" s="8"/>
      <c r="Q9" s="8"/>
    </row>
    <row r="10" spans="1:17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7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17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7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17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spans="1:17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spans="1: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spans="1:17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spans="1:17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 spans="1:17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spans="1:17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spans="1:17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spans="1:17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spans="1:17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spans="1:17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spans="1:17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spans="1:1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1:17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1:17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1:17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1:17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1:17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1:17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1:17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1:17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1:17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  <row r="37" spans="1:1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</row>
    <row r="38" spans="1:17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</row>
    <row r="39" spans="1:17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</row>
    <row r="40" spans="1:17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</row>
    <row r="41" spans="1:17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</row>
    <row r="42" spans="1:17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</row>
    <row r="43" spans="1:17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</row>
    <row r="44" spans="1:17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</row>
    <row r="45" spans="1:17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</row>
    <row r="46" spans="1:17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</row>
    <row r="47" spans="1:1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</row>
    <row r="48" spans="1:17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</row>
    <row r="49" spans="1:17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</row>
    <row r="50" spans="1:17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</row>
    <row r="51" spans="1:17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</row>
    <row r="52" spans="1:17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</row>
    <row r="53" spans="1:17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</row>
    <row r="54" spans="1:17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</row>
    <row r="55" spans="1:17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</row>
    <row r="56" spans="1:17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</row>
    <row r="57" spans="1:1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</row>
    <row r="58" spans="1:17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</row>
    <row r="59" spans="1:17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</row>
    <row r="60" spans="1:17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</row>
  </sheetData>
  <mergeCells count="1">
    <mergeCell ref="A1:J1"/>
  </mergeCells>
  <conditionalFormatting sqref="E4:E9">
    <cfRule type="expression" dxfId="1" priority="1">
      <formula>E4="Minor"</formula>
    </cfRule>
    <cfRule type="expression" dxfId="0" priority="2">
      <formula>E4="Cosmetic"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0"/>
  <sheetViews>
    <sheetView workbookViewId="0">
      <pane ySplit="1" topLeftCell="A8" activePane="bottomLeft" state="frozen"/>
      <selection pane="bottomLeft" sqref="A1:F1"/>
    </sheetView>
  </sheetViews>
  <sheetFormatPr defaultRowHeight="13.8"/>
  <cols>
    <col min="1" max="1" width="20" customWidth="1"/>
    <col min="2" max="2" width="28" customWidth="1"/>
    <col min="3" max="3" width="52" customWidth="1"/>
    <col min="4" max="4" width="18" customWidth="1"/>
    <col min="5" max="6" width="14" customWidth="1"/>
  </cols>
  <sheetData>
    <row r="1" spans="1:17" ht="19.2">
      <c r="A1" s="43" t="s">
        <v>127</v>
      </c>
      <c r="B1" s="43"/>
      <c r="C1" s="43"/>
      <c r="D1" s="43"/>
      <c r="E1" s="43"/>
      <c r="F1" s="43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>
      <c r="A3" s="7" t="s">
        <v>128</v>
      </c>
      <c r="B3" s="7" t="s">
        <v>129</v>
      </c>
      <c r="C3" s="11"/>
      <c r="D3" s="11"/>
      <c r="E3" s="11"/>
      <c r="F3" s="11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17" ht="26.4">
      <c r="A4" s="1" t="s">
        <v>130</v>
      </c>
      <c r="B4" s="10" t="s">
        <v>131</v>
      </c>
      <c r="C4" s="11"/>
      <c r="D4" s="11"/>
      <c r="E4" s="11"/>
      <c r="F4" s="11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spans="1:17" ht="26.4">
      <c r="A5" s="3" t="s">
        <v>132</v>
      </c>
      <c r="B5" s="12" t="s">
        <v>133</v>
      </c>
      <c r="C5" s="11"/>
      <c r="D5" s="11"/>
      <c r="E5" s="11"/>
      <c r="F5" s="11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 ht="26.4">
      <c r="A6" s="3" t="s">
        <v>134</v>
      </c>
      <c r="B6" s="12" t="s">
        <v>135</v>
      </c>
      <c r="C6" s="11"/>
      <c r="D6" s="11"/>
      <c r="E6" s="11"/>
      <c r="F6" s="11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 spans="1:17" ht="26.4">
      <c r="A7" s="3" t="s">
        <v>136</v>
      </c>
      <c r="B7" s="12" t="s">
        <v>137</v>
      </c>
      <c r="C7" s="11"/>
      <c r="D7" s="11"/>
      <c r="E7" s="11"/>
      <c r="F7" s="11"/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spans="1:17" ht="39.6">
      <c r="A8" s="3" t="s">
        <v>138</v>
      </c>
      <c r="B8" s="12" t="s">
        <v>139</v>
      </c>
      <c r="C8" s="11"/>
      <c r="D8" s="11"/>
      <c r="E8" s="11"/>
      <c r="F8" s="11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 ht="26.4">
      <c r="A9" s="3" t="s">
        <v>140</v>
      </c>
      <c r="B9" s="12" t="s">
        <v>141</v>
      </c>
      <c r="C9" s="11"/>
      <c r="D9" s="11"/>
      <c r="E9" s="11"/>
      <c r="F9" s="11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1:17">
      <c r="A10" s="5" t="s">
        <v>142</v>
      </c>
      <c r="B10" s="14" t="s">
        <v>44</v>
      </c>
      <c r="C10" s="11"/>
      <c r="D10" s="11"/>
      <c r="E10" s="11"/>
      <c r="F10" s="11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7">
      <c r="A11" s="11"/>
      <c r="B11" s="11"/>
      <c r="C11" s="11"/>
      <c r="D11" s="11"/>
      <c r="E11" s="11"/>
      <c r="F11" s="11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17">
      <c r="A12" s="44" t="s">
        <v>143</v>
      </c>
      <c r="B12" s="44"/>
      <c r="C12" s="44"/>
      <c r="D12" s="44"/>
      <c r="E12" s="44"/>
      <c r="F12" s="44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>
      <c r="A13" s="11"/>
      <c r="B13" s="11"/>
      <c r="C13" s="11"/>
      <c r="D13" s="11"/>
      <c r="E13" s="11"/>
      <c r="F13" s="11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7">
      <c r="A14" s="7" t="s">
        <v>144</v>
      </c>
      <c r="B14" s="7" t="s">
        <v>145</v>
      </c>
      <c r="C14" s="7" t="s">
        <v>146</v>
      </c>
      <c r="D14" s="7" t="s">
        <v>147</v>
      </c>
      <c r="E14" s="11"/>
      <c r="F14" s="11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17" ht="26.4">
      <c r="A15" s="36" t="s">
        <v>148</v>
      </c>
      <c r="B15" s="9" t="s">
        <v>96</v>
      </c>
      <c r="C15" s="9" t="s">
        <v>149</v>
      </c>
      <c r="D15" s="10" t="s">
        <v>150</v>
      </c>
      <c r="E15" s="11"/>
      <c r="F15" s="11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spans="1:17" ht="26.4">
      <c r="A16" s="37" t="s">
        <v>151</v>
      </c>
      <c r="B16" s="11" t="s">
        <v>102</v>
      </c>
      <c r="C16" s="11" t="s">
        <v>152</v>
      </c>
      <c r="D16" s="12" t="s">
        <v>153</v>
      </c>
      <c r="E16" s="11"/>
      <c r="F16" s="11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spans="1:17" ht="26.4">
      <c r="A17" s="37" t="s">
        <v>154</v>
      </c>
      <c r="B17" s="11" t="s">
        <v>105</v>
      </c>
      <c r="C17" s="11" t="s">
        <v>155</v>
      </c>
      <c r="D17" s="12" t="s">
        <v>153</v>
      </c>
      <c r="E17" s="11"/>
      <c r="F17" s="11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spans="1:17" ht="26.4">
      <c r="A18" s="37" t="s">
        <v>156</v>
      </c>
      <c r="B18" s="11" t="s">
        <v>157</v>
      </c>
      <c r="C18" s="11" t="s">
        <v>158</v>
      </c>
      <c r="D18" s="12" t="s">
        <v>153</v>
      </c>
      <c r="E18" s="11"/>
      <c r="F18" s="11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spans="1:17" ht="26.4">
      <c r="A19" s="38" t="s">
        <v>159</v>
      </c>
      <c r="B19" s="13" t="s">
        <v>160</v>
      </c>
      <c r="C19" s="13" t="s">
        <v>161</v>
      </c>
      <c r="D19" s="14" t="s">
        <v>162</v>
      </c>
      <c r="E19" s="11"/>
      <c r="F19" s="11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 spans="1:17">
      <c r="A20" s="11"/>
      <c r="B20" s="11"/>
      <c r="C20" s="11"/>
      <c r="D20" s="11"/>
      <c r="E20" s="11"/>
      <c r="F20" s="11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spans="1:17">
      <c r="A21" s="44" t="s">
        <v>163</v>
      </c>
      <c r="B21" s="44"/>
      <c r="C21" s="44"/>
      <c r="D21" s="44"/>
      <c r="E21" s="44"/>
      <c r="F21" s="44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spans="1:17">
      <c r="A22" s="58" t="s">
        <v>164</v>
      </c>
      <c r="B22" s="59"/>
      <c r="C22" s="59"/>
      <c r="D22" s="59"/>
      <c r="E22" s="59"/>
      <c r="F22" s="60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spans="1:17">
      <c r="A23" s="61"/>
      <c r="B23" s="62"/>
      <c r="C23" s="62"/>
      <c r="D23" s="62"/>
      <c r="E23" s="62"/>
      <c r="F23" s="63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spans="1:17">
      <c r="A24" s="64"/>
      <c r="B24" s="65"/>
      <c r="C24" s="65"/>
      <c r="D24" s="65"/>
      <c r="E24" s="65"/>
      <c r="F24" s="66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spans="1:17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spans="1:17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spans="1:1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1:17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1:17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1:17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1:17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1:17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1:17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1:17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1:17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1:17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  <row r="37" spans="1:1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</row>
    <row r="38" spans="1:17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</row>
    <row r="39" spans="1:17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</row>
    <row r="40" spans="1:17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</row>
    <row r="41" spans="1:17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</row>
    <row r="42" spans="1:17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</row>
    <row r="43" spans="1:17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</row>
    <row r="44" spans="1:17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</row>
    <row r="45" spans="1:17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</row>
    <row r="46" spans="1:17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</row>
    <row r="47" spans="1:1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</row>
    <row r="48" spans="1:17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</row>
    <row r="49" spans="1:17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</row>
    <row r="50" spans="1:17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</row>
    <row r="51" spans="1:17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</row>
    <row r="52" spans="1:17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</row>
    <row r="53" spans="1:17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</row>
    <row r="54" spans="1:17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</row>
    <row r="55" spans="1:17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</row>
    <row r="56" spans="1:17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</row>
    <row r="57" spans="1:1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</row>
    <row r="58" spans="1:17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</row>
    <row r="59" spans="1:17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</row>
    <row r="60" spans="1:17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</row>
  </sheetData>
  <mergeCells count="4">
    <mergeCell ref="A1:F1"/>
    <mergeCell ref="A12:F12"/>
    <mergeCell ref="A21:F21"/>
    <mergeCell ref="A22:F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QA Report</vt:lpstr>
      <vt:lpstr>Test Execution</vt:lpstr>
      <vt:lpstr>Defect Metrics</vt:lpstr>
      <vt:lpstr>Open Defects</vt:lpstr>
      <vt:lpstr>QA Sign-off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ktpl455@outlook.com</cp:lastModifiedBy>
  <dcterms:modified xsi:type="dcterms:W3CDTF">2026-10-10T03:02:27Z</dcterms:modified>
</cp:coreProperties>
</file>